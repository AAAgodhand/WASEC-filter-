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500" activeTab="3"/>
  </bookViews>
  <sheets>
    <sheet name="Overview" sheetId="1" r:id="rId1"/>
    <sheet name="Queue" sheetId="2" r:id="rId2"/>
    <sheet name="Login Wall (ICN)" sheetId="3" r:id="rId3"/>
    <sheet name="Method &amp; Limits" sheetId="4" r:id="rId4"/>
  </sheets>
  <definedNames>
    <definedName name="_xlnm._FilterDatabase" localSheetId="1" hidden="1">Queue!$A$1:$N$31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<sst xmlns="http://schemas.openxmlformats.org/spreadsheetml/2006/main" count="587" uniqueCount="369">
  <si>
    <t>WASEC Warm Leads - V6.1 Verified Queue</t>
  </si>
  <si>
    <t>Data snapshot 17 Jun 2026 - engine run &amp; live verification 11 Jul 2026 - 687 opportunities filtered to 48 for review</t>
  </si>
  <si>
    <t>ACT THIS WEEK</t>
  </si>
  <si>
    <t>PK 135 - Maintenance Trade Panel (Statewide) Stage 1</t>
  </si>
  <si>
    <t>Closes 23 Jul. Verified open. Panel replaces LVMP+SA12; Category 1 (repairs / routine maintenance / simple projects) fits construction-adjacent members. Circulate now.</t>
  </si>
  <si>
    <t>PREPARE NOW (future opportunities, verified)</t>
  </si>
  <si>
    <t>PK 155 - School Principal Wellbeing Services</t>
  </si>
  <si>
    <t>RFT mid-2026, 5-year term, statewide, tender per category (coaching / mental health / health checks). Brief wellbeing members now.</t>
  </si>
  <si>
    <t>PK 164 - Pre-prepared Meals, Midwest (WACHS)</t>
  </si>
  <si>
    <t>Request expected on Tenders WA early Aug 2026. Catering members.</t>
  </si>
  <si>
    <t>REMOVED AFTER VERIFICATION (do not circulate)</t>
  </si>
  <si>
    <t>PK 195 - TRA Assessment Panel</t>
  </si>
  <si>
    <t>Requires TRA-approved RTO credential; national scope. No member fit.</t>
  </si>
  <si>
    <t>PK 127 - Mullaloo PS Power Upgrade</t>
  </si>
  <si>
    <t>Mandatory briefing already closed + electrical licence required.</t>
  </si>
  <si>
    <t>PK 210 / 687 / 129 / 108</t>
  </si>
  <si>
    <t>Eligibility-restricted, closed, or object mismatch (see Verified sheet).</t>
  </si>
  <si>
    <t>QUEUE COMPOSITION</t>
  </si>
  <si>
    <t>H - human verified</t>
  </si>
  <si>
    <t>C - specialist review</t>
  </si>
  <si>
    <t>D - manual triage</t>
  </si>
  <si>
    <t>B - review</t>
  </si>
  <si>
    <t>L1 - login wall, check first</t>
  </si>
  <si>
    <t>L3 - login wall, admin noise</t>
  </si>
  <si>
    <t>Mandatory next step</t>
  </si>
  <si>
    <t>Every row must be verified against its live source URL before circulation. Two verification rounds changed 10 of 16 verdicts - text rules cannot see closed briefings, credential gates, or stale dates.</t>
  </si>
  <si>
    <t>ID</t>
  </si>
  <si>
    <t>Tier</t>
  </si>
  <si>
    <t>Verdict (human)</t>
  </si>
  <si>
    <t>Title</t>
  </si>
  <si>
    <t>Agency</t>
  </si>
  <si>
    <t>Industry</t>
  </si>
  <si>
    <t>Social impact signal</t>
  </si>
  <si>
    <t>Close / ETA</t>
  </si>
  <si>
    <t>Members (indicative)</t>
  </si>
  <si>
    <t>Contact</t>
  </si>
  <si>
    <t>Phone</t>
  </si>
  <si>
    <t>Email</t>
  </si>
  <si>
    <t>Verified note / next check</t>
  </si>
  <si>
    <t>Source URL</t>
  </si>
  <si>
    <t>H</t>
  </si>
  <si>
    <t>BRIEFING GATE</t>
  </si>
  <si>
    <t>Mullaloo Heights Primary School - Power Upgrade</t>
  </si>
  <si>
    <t>Programmed Facility Management</t>
  </si>
  <si>
    <t>Building maintenance</t>
  </si>
  <si>
    <t>Possible - community/target-group wording</t>
  </si>
  <si>
    <t>2026-07-17 14:00</t>
  </si>
  <si>
    <t>-</t>
  </si>
  <si>
    <t>Mellisa Birdas</t>
  </si>
  <si>
    <t>tenders.wa@programmed.com.au</t>
  </si>
  <si>
    <t>Mandatory briefing has already closed AND a licensed electrical contractor is required. Only briefing attendees may tender.</t>
  </si>
  <si>
    <t>https://www.tenders.wa.gov.au/watenders/tender/display/tender-details.action?id=69450&amp;action=display-tender-details</t>
  </si>
  <si>
    <t>PROCEED NOW</t>
  </si>
  <si>
    <t>Maintenance Trade Panel (Statewide) - Stage 1</t>
  </si>
  <si>
    <t>Department of Housing and Works</t>
  </si>
  <si>
    <t>Building &amp; facility maintenance</t>
  </si>
  <si>
    <t>2026-07-23 14:30</t>
  </si>
  <si>
    <t>18 matched: Kardan; Renew Property Maintenance (Dismantle); Goodwill Engineering (Ability WA); Intelife; +14 more (indicative)</t>
  </si>
  <si>
    <t>Maintenance Trade Panel - Team</t>
  </si>
  <si>
    <t>(08) 65511808</t>
  </si>
  <si>
    <t>MTP@dohw.wa.gov.au</t>
  </si>
  <si>
    <t>Re-confirmed open, closes 23 Jul. Panel replaces LVMP+SA12 - entry gates future govt maintenance orders. Category 1 (breakdown repairs / routine maintenance / simple projects) fits construction-adjacent members. Stage 1: Perth Metro, Peel, South West, Great Southern. No mandatory briefing found. ACTION: circulate to construction-adjacent members this week.</t>
  </si>
  <si>
    <t>https://www.tenders.wa.gov.au/watenders/tender/display/tender-details.action?id=69287&amp;action=display-tender-details</t>
  </si>
  <si>
    <t>HIGH-PRIORITY FUTURE</t>
  </si>
  <si>
    <t>School Principal Wellbeing Services</t>
  </si>
  <si>
    <t>Department of Education</t>
  </si>
  <si>
    <t>Specialised education services</t>
  </si>
  <si>
    <t>RFT mid-2026 (ETA)</t>
  </si>
  <si>
    <t>17 matched: ADHD WA; Mettle; Mens Talk; Reboot Australia; Perth Kids Hub; Befriend; +11 more (indicative)</t>
  </si>
  <si>
    <t>Kaitlin Baker (DoHW)</t>
  </si>
  <si>
    <t>(08) 65511542</t>
  </si>
  <si>
    <t>kaitlin.baker@dohw.wa.gov.au</t>
  </si>
  <si>
    <t>Best future opportunity in the dataset. Early Tender Advice: RFT mid-2026, 5-YEAR term, statewide. Three categories (leadership coaching / mental health support / executive health checks); members may tender per category. ACTION: brief wellbeing members now so they are ready.</t>
  </si>
  <si>
    <t>https://www.tenders.wa.gov.au/watenders/tender/display/tender-details.action?id=66983&amp;action=display-tender-details</t>
  </si>
  <si>
    <t>FUTURE - watch Aug</t>
  </si>
  <si>
    <t>Supply and Delivery of Pre-prepared Meals for Commonwealth Home Support Program Clients Midwest Region</t>
  </si>
  <si>
    <t>WA Country Health Service</t>
  </si>
  <si>
    <t>Food preparation &amp; catering</t>
  </si>
  <si>
    <t>Request ~Aug 2026 (ETA)</t>
  </si>
  <si>
    <t>9 matched: Prepare Produce Provide; Chris'Kitchen; Holy Grounds Boorloo; +6 more (indicative)</t>
  </si>
  <si>
    <t>Claire Delamare</t>
  </si>
  <si>
    <t>claire.delamare@dohw.wa.gov.au</t>
  </si>
  <si>
    <t>Early Tender Advice; request anticipated on Tenders WA early August 2026. Catering members are the audience.</t>
  </si>
  <si>
    <t>https://www.tenders.wa.gov.au/watenders/tender/display/tender-details.action?id=69211&amp;action=display-tender-details</t>
  </si>
  <si>
    <t>SPECIALIST MONITOR</t>
  </si>
  <si>
    <t>Vehicle Towage, Storage and Release Services for the Perth Metropolitan Area and Regional Locations</t>
  </si>
  <si>
    <t>Western Australia Police Force</t>
  </si>
  <si>
    <t>Towing &amp; vehicle storage</t>
  </si>
  <si>
    <t>Release ~31 Aug 2026 (ETA)</t>
  </si>
  <si>
    <t>15 matched (list indicative - confirm)</t>
  </si>
  <si>
    <t>Tom Bryan</t>
  </si>
  <si>
    <t>(08) 65511363</t>
  </si>
  <si>
    <t>Tom.Bryan@dohw.wa.gov.au</t>
  </si>
  <si>
    <t>Scope includes evidence capture, forensic storage, authorised release - police evidence chain, not simple towing. Low priority unless a member has licences + secure premises.</t>
  </si>
  <si>
    <t>https://www.tenders.wa.gov.au/watenders/tender/display/tender-details.action?id=69126&amp;action=display-tender-details</t>
  </si>
  <si>
    <t>REMOVED - credential</t>
  </si>
  <si>
    <t>RFT in relation to the Panel Refresh of Trades Recognition Australia Assessment Services Panel for Service Gaps</t>
  </si>
  <si>
    <t>Department of Employment and Workplace Relations</t>
  </si>
  <si>
    <t>Education &amp; training</t>
  </si>
  <si>
    <t>No social-impact wording</t>
  </si>
  <si>
    <t>2026-07-16 23:30</t>
  </si>
  <si>
    <t>38 matched (list indicative - confirm)</t>
  </si>
  <si>
    <t>Procurement and Grants Advisory Services Team</t>
  </si>
  <si>
    <t>procurementandgrants@dewr.gov.au</t>
  </si>
  <si>
    <t>TRA assessments must be delivered by TRA-approved RTOs (Migration Regulations); national scope. No member holds that credential. Supersedes 9 Jul proceed verdict.</t>
  </si>
  <si>
    <t>https://www.tenders.gov.au/Atm/Show/e008727b-c1ef-45d3-9c91-62b5ee1f77f7</t>
  </si>
  <si>
    <t>REMOVED</t>
  </si>
  <si>
    <t>Private Hospital Services</t>
  </si>
  <si>
    <t>Department of Veterans' Affairs</t>
  </si>
  <si>
    <t>Health services</t>
  </si>
  <si>
    <t>2028-06-30 17:00</t>
  </si>
  <si>
    <t>11 matched (list indicative - confirm)</t>
  </si>
  <si>
    <t>Project Manager</t>
  </si>
  <si>
    <t>RESP.PRIV.HOSPITALS@dva.gov.au</t>
  </si>
  <si>
    <t>Open only to qualified private hospital providers.</t>
  </si>
  <si>
    <t>https://www.tenders.gov.au/Atm/Show/89b9dac6-0325-6a7c-78ad-4744eeb8be18</t>
  </si>
  <si>
    <t>RELATIONSHIP LEAD</t>
  </si>
  <si>
    <t>WP6 - Furniture/Joinery</t>
  </si>
  <si>
    <t>H&amp;B DEFENCE PTY LTD</t>
  </si>
  <si>
    <t>Furniture &amp; joinery (ICN)</t>
  </si>
  <si>
    <t>Unknown - login-walled</t>
  </si>
  <si>
    <t>Eddie Ivar</t>
  </si>
  <si>
    <t>eddie.ivar@icnsa.org.au</t>
  </si>
  <si>
    <t>Login-restricted supplier QUALIFICATION pathway, not a biddable tender. Keep as relationship lead for GreenChair / Goodwill Engineering. Needs ICN account to read scope.</t>
  </si>
  <si>
    <t>https://gateway.icn.org.au/projects/14689/pg-14689</t>
  </si>
  <si>
    <t>REMOVED - closed</t>
  </si>
  <si>
    <t>Handrail and Grating</t>
  </si>
  <si>
    <t>BHP IRON ORE PTY. LTD.</t>
  </si>
  <si>
    <t>Fabricated metal (ICN)</t>
  </si>
  <si>
    <t>30 Jun 2028 (stale)</t>
  </si>
  <si>
    <t>Joelle Lim</t>
  </si>
  <si>
    <t>+61 08 9365 7623</t>
  </si>
  <si>
    <t>joelle.lim@icnwa.org.au</t>
  </si>
  <si>
    <t>ICN shows the package closed; snapshot date (2028) is stale.</t>
  </si>
  <si>
    <t>https://gateway.icn.org.au/projects/12313/pg-12313</t>
  </si>
  <si>
    <t>B</t>
  </si>
  <si>
    <t>Food Standards Australia New Zealand Laboratory Panel</t>
  </si>
  <si>
    <t>Food Standards Australia New Zealand</t>
  </si>
  <si>
    <t>Food &amp; nutrition services</t>
  </si>
  <si>
    <t>2026-07-13 14:00</t>
  </si>
  <si>
    <t>18 matched (list indicative - confirm)</t>
  </si>
  <si>
    <t>Keith Henderson</t>
  </si>
  <si>
    <t>0262288283</t>
  </si>
  <si>
    <t>tenders@foodstandards.gov.au</t>
  </si>
  <si>
    <t>Not yet verified - open URL, check status / briefing / eligibility before circulating.</t>
  </si>
  <si>
    <t>https://www.tenders.gov.au/Advert/Show/b6793ee2-9cdb-4e98-8ff1-f32f72d4eb32</t>
  </si>
  <si>
    <t>C</t>
  </si>
  <si>
    <t>Pathwest Laboratory Medicine WA - QEII PathWest Building PP - Cladding Remediation</t>
  </si>
  <si>
    <t>2026-07-14 14:30</t>
  </si>
  <si>
    <t>Vicki Do</t>
  </si>
  <si>
    <t>65512014</t>
  </si>
  <si>
    <t>Vicki.Do@dohw.wa.gov.au</t>
  </si>
  <si>
    <t>https://www.tenders.wa.gov.au/watenders/tender/display/tender-details.action?id=69502&amp;action=display-tender-details</t>
  </si>
  <si>
    <t>Port of Bunbury Electrical Infrastructure Upgrade</t>
  </si>
  <si>
    <t>Southern Ports Authority</t>
  </si>
  <si>
    <t>Electrical services</t>
  </si>
  <si>
    <t>Christopher Hingston</t>
  </si>
  <si>
    <t>christopher.hingston@southernports.com.au</t>
  </si>
  <si>
    <t>https://www.tenders.wa.gov.au/watenders/tender/display/tender-details.action?id=69454&amp;action=display-tender-details</t>
  </si>
  <si>
    <t>Supply, Installation, Operation and Maintenance of Speed Indication Devices</t>
  </si>
  <si>
    <t>Main Roads Western Australia</t>
  </si>
  <si>
    <t>Road signage</t>
  </si>
  <si>
    <t>2026-07-15 14:30</t>
  </si>
  <si>
    <t>Cory Ross | Scott Lennon</t>
  </si>
  <si>
    <t>(08) 93234845</t>
  </si>
  <si>
    <t>cory.ross@mainroads.wa.gov.au</t>
  </si>
  <si>
    <t>https://www.tenders.wa.gov.au/watenders/tender/display/tender-details.action?id=69377&amp;action=display-tender-details</t>
  </si>
  <si>
    <t>METRONET on Swan - Perth to Applecross - Ferry Terminals Delivery - Design and Construct</t>
  </si>
  <si>
    <t>Department of Transport and Major Infrastructure</t>
  </si>
  <si>
    <t>Marine infrastructure</t>
  </si>
  <si>
    <t>2026-08-11 14:30</t>
  </si>
  <si>
    <t>Caitlin McGee DTMI</t>
  </si>
  <si>
    <t>0863760187</t>
  </si>
  <si>
    <t>caitlin.mcgee@transport.wa.gov.au</t>
  </si>
  <si>
    <t>https://www.tenders.wa.gov.au/watenders/tender/display/tender-details.action?id=69338&amp;action=display-tender-details</t>
  </si>
  <si>
    <t>Sale of Industrial Wood and Forest Residue</t>
  </si>
  <si>
    <t>Forest Products Commission</t>
  </si>
  <si>
    <t>Forestry</t>
  </si>
  <si>
    <t>2026-12-31 15:00</t>
  </si>
  <si>
    <t>Erika Steel</t>
  </si>
  <si>
    <t>(08) 93634646</t>
  </si>
  <si>
    <t>business.enquiries@fpc.wa.gov.au</t>
  </si>
  <si>
    <t>https://www.tenders.wa.gov.au/watenders/tender/display/tender-details.action?id=67874&amp;action=display-tender-details</t>
  </si>
  <si>
    <t>Department of Education - Vasse Primary School - Fire Services Upgrade Program</t>
  </si>
  <si>
    <t>Building construction</t>
  </si>
  <si>
    <t>2026-06-30</t>
  </si>
  <si>
    <t>Ian Williams</t>
  </si>
  <si>
    <t>(08) 99657110</t>
  </si>
  <si>
    <t>ian.williams@dohw.wa.gov.au</t>
  </si>
  <si>
    <t>https://www.tenders.wa.gov.au/watenders/tender/display/tender-details.action?id=68854&amp;action=display-tender-details</t>
  </si>
  <si>
    <t>Western Australia Police Force - Joondalup Police Academy - Refurbishment and fitout of the Block L Accommodation Building</t>
  </si>
  <si>
    <t>2026-07-29</t>
  </si>
  <si>
    <t>James Bidgood</t>
  </si>
  <si>
    <t>(08) 65511949</t>
  </si>
  <si>
    <t>james.bidgood@dohw.wa.gov.au</t>
  </si>
  <si>
    <t>https://www.tenders.wa.gov.au/watenders/tender/display/tender-details.action?id=69044&amp;action=display-tender-details</t>
  </si>
  <si>
    <t>Services to Manage the Annual WasteSorted Awards Program</t>
  </si>
  <si>
    <t>Department of Water and Environmental Regulation</t>
  </si>
  <si>
    <t>Events management</t>
  </si>
  <si>
    <t>Brett Jenkins</t>
  </si>
  <si>
    <t>(08) 63647363</t>
  </si>
  <si>
    <t>brett.jenkins@dwer.wa.gov.au</t>
  </si>
  <si>
    <t>https://www.tenders.wa.gov.au/watenders/tender/display/tender-details.action?id=68978&amp;action=display-tender-details</t>
  </si>
  <si>
    <t>Printing of ATAR Course Examination Materials, ATAR Course Common Tasks and Externally Set Tasks</t>
  </si>
  <si>
    <t>Printing</t>
  </si>
  <si>
    <t>2026-07-14</t>
  </si>
  <si>
    <t>3 matched (list indicative - confirm)</t>
  </si>
  <si>
    <t>Amy Ralph</t>
  </si>
  <si>
    <t>(08) 65511032</t>
  </si>
  <si>
    <t>amy.ralph@dohw.wa.gov.au</t>
  </si>
  <si>
    <t>https://www.tenders.wa.gov.au/watenders/tender/display/tender-details.action?id=69046&amp;action=display-tender-details</t>
  </si>
  <si>
    <t>Defence Estate Capital and Sustainment Works Program Industry Briefing Notice</t>
  </si>
  <si>
    <t>Department of Defence - DSRG</t>
  </si>
  <si>
    <t>Building construction &amp; maintenance</t>
  </si>
  <si>
    <t>2026-08-12 12:00</t>
  </si>
  <si>
    <t>CFI Training and Events Team</t>
  </si>
  <si>
    <t>cfi.trainingandevents@defence.gov.au</t>
  </si>
  <si>
    <t>https://www.tenders.gov.au/Atm/Show/8a7c2134-e86d-4060-a8f7-d329ef356ee0</t>
  </si>
  <si>
    <t>Northam Warehouse Refurbishment, WA</t>
  </si>
  <si>
    <t>2026-07-15 12:00</t>
  </si>
  <si>
    <t>9 matched (list indicative - confirm)</t>
  </si>
  <si>
    <t>Mott MacDonald (Tender Admin)</t>
  </si>
  <si>
    <t>PDS.WA.Tenders@mottmac.com</t>
  </si>
  <si>
    <t>https://www.tenders.gov.au/Atm/Show/1dd65c59-dbb6-41d0-b1ec-3ebb40810645</t>
  </si>
  <si>
    <t>WP4 - Fabricated Parts</t>
  </si>
  <si>
    <t>Defence fabrication (ICN)</t>
  </si>
  <si>
    <t>ASA Industry Questionnaire</t>
  </si>
  <si>
    <t>Australian Submarine Agency</t>
  </si>
  <si>
    <t>Defence supply chain (ICN)</t>
  </si>
  <si>
    <t>17 Jun 2033</t>
  </si>
  <si>
    <t>asa.industryfrontdoor@defence.gov.au</t>
  </si>
  <si>
    <t>https://gateway.icn.org.au/projects/16537</t>
  </si>
  <si>
    <t>D</t>
  </si>
  <si>
    <t>Design &amp; Construct EV Ferry Terminal and Shoreside Embayment - Matilda Bay Landside Package</t>
  </si>
  <si>
    <t>Heavy construction</t>
  </si>
  <si>
    <t>2026-08-11 14:00</t>
  </si>
  <si>
    <t>David McGarvie</t>
  </si>
  <si>
    <t>https://www.tenders.wa.gov.au/watenders/tender/display/tender-details.action?id=69337&amp;action=display-tender-details</t>
  </si>
  <si>
    <t>Art Coordination Consultancy Services Panel 2018 (Panel Refresh)</t>
  </si>
  <si>
    <t>(inactive) Department of Finance</t>
  </si>
  <si>
    <t>Art &amp; design</t>
  </si>
  <si>
    <t>2026-12-31 14:30</t>
  </si>
  <si>
    <t>Dean Wood</t>
  </si>
  <si>
    <t>(08) 65511998</t>
  </si>
  <si>
    <t>Dean.Wood@finance.wa.gov.au</t>
  </si>
  <si>
    <t>https://www.tenders.wa.gov.au/watenders/tender/display/tender-details.action?id=59165&amp;action=display-tender-details</t>
  </si>
  <si>
    <t>Interpreting and Translating Services Common Use Arrangement</t>
  </si>
  <si>
    <t>Department of Treasury and Finance</t>
  </si>
  <si>
    <t>Community &amp; social services</t>
  </si>
  <si>
    <t>2026-07-01</t>
  </si>
  <si>
    <t>5 matched (list indicative - confirm)</t>
  </si>
  <si>
    <t>Emma Martin</t>
  </si>
  <si>
    <t>(08) 65511840</t>
  </si>
  <si>
    <t>emma.martin@dtf.wa.gov.au</t>
  </si>
  <si>
    <t>https://www.tenders.wa.gov.au/watenders/tender/display/tender-details.action?id=69153&amp;action=display-tender-details</t>
  </si>
  <si>
    <t>Panel Contract for the Provision of Environment and Heritage Services - Transport Portfolio</t>
  </si>
  <si>
    <t>Environmental management</t>
  </si>
  <si>
    <t>2026-07-16</t>
  </si>
  <si>
    <t>Martine Scheltema | Scott Lennon</t>
  </si>
  <si>
    <t>(08) 93234614</t>
  </si>
  <si>
    <t>martine.scheltema@mainroads.wa.gov.au</t>
  </si>
  <si>
    <t>https://www.tenders.wa.gov.au/watenders/tender/display/tender-details.action?id=65106&amp;action=display-tender-details</t>
  </si>
  <si>
    <t>Online Learning &amp; Assessment Tool, Support &amp; Maintenance</t>
  </si>
  <si>
    <t>South Metropolitan TAFE</t>
  </si>
  <si>
    <t>Education software</t>
  </si>
  <si>
    <t>29 matched (list indicative - confirm)</t>
  </si>
  <si>
    <t>Hannah Johnson DOHW</t>
  </si>
  <si>
    <t>(08) 65511578</t>
  </si>
  <si>
    <t>hannah.johnson@dohw.wa.gov.au</t>
  </si>
  <si>
    <t>https://www.tenders.wa.gov.au/watenders/tender/display/tender-details.action?id=69218&amp;action=display-tender-details</t>
  </si>
  <si>
    <t>Support and Maintenance of Specialist Systems</t>
  </si>
  <si>
    <t>IT services</t>
  </si>
  <si>
    <t>2026-07-17</t>
  </si>
  <si>
    <t>25 matched (list indicative - confirm)</t>
  </si>
  <si>
    <t>https://www.tenders.wa.gov.au/watenders/tender/display/tender-details.action?id=67997&amp;action=display-tender-details</t>
  </si>
  <si>
    <t>2027-2031 Jobs and Skills WA Training Programs</t>
  </si>
  <si>
    <t>Department of Training and Workforce Development (DTWD)</t>
  </si>
  <si>
    <t>Vocational training</t>
  </si>
  <si>
    <t>2026-06-19</t>
  </si>
  <si>
    <t>Rob Neve</t>
  </si>
  <si>
    <t>training.markets@dtwd.wa.gov.au</t>
  </si>
  <si>
    <t>https://www.tenders.wa.gov.au/watenders/tender/display/tender-details.action?id=68410&amp;action=display-tender-details</t>
  </si>
  <si>
    <t>Priority</t>
  </si>
  <si>
    <t>Company / Project</t>
  </si>
  <si>
    <t>Industry (from title)</t>
  </si>
  <si>
    <t>Close (as scraped)</t>
  </si>
  <si>
    <t>ICN Contact</t>
  </si>
  <si>
    <t>Why here / what to do</t>
  </si>
  <si>
    <t>L1</t>
  </si>
  <si>
    <t>WP7 - Circuit Cards</t>
  </si>
  <si>
    <t>Electronics (ICN)</t>
  </si>
  <si>
    <t>Substantive work package behind ICN login - no scraped text, rules cannot score it. Open with an ICN account and judge member fit directly.</t>
  </si>
  <si>
    <t>WP3 - Air and Gas Flasks</t>
  </si>
  <si>
    <t>Pressure vessels (ICN)</t>
  </si>
  <si>
    <t>WP2 - Precision Machining</t>
  </si>
  <si>
    <t>Precision machining (ICN)</t>
  </si>
  <si>
    <t>WP5 - Composites and GRP</t>
  </si>
  <si>
    <t>Composites (ICN)</t>
  </si>
  <si>
    <t>WP1 - Castings and Forgings</t>
  </si>
  <si>
    <t>Castings &amp; forgings (ICN)</t>
  </si>
  <si>
    <t>Conveyor Idlers</t>
  </si>
  <si>
    <t>Conveyor components (ICN)</t>
  </si>
  <si>
    <t>30 Jun 2028</t>
  </si>
  <si>
    <t>Structural Steel</t>
  </si>
  <si>
    <t>Structural steel (ICN)</t>
  </si>
  <si>
    <t>Conveyor Belt</t>
  </si>
  <si>
    <t>L3</t>
  </si>
  <si>
    <t>Moogs Global Supply Chain Program</t>
  </si>
  <si>
    <t>Moog Australia Pty. Ltd.</t>
  </si>
  <si>
    <t>Defence supply program (ICN)</t>
  </si>
  <si>
    <t>31 Jul 2026</t>
  </si>
  <si>
    <t>Lynn Johnson</t>
  </si>
  <si>
    <t>+61 03 9864 6743</t>
  </si>
  <si>
    <t>ljohnson@icnvic.org.au</t>
  </si>
  <si>
    <t>Registration form / prime-contractor program / known hard barrier - skim only.</t>
  </si>
  <si>
    <t>https://gateway.icn.org.au/projects/14359</t>
  </si>
  <si>
    <t>Saab - Global Export Opportunity Program</t>
  </si>
  <si>
    <t>SAAB AUSTRALIA PTY LTD</t>
  </si>
  <si>
    <t>Defence export program (ICN)</t>
  </si>
  <si>
    <t>https://gateway.icn.org.au/projects/15019</t>
  </si>
  <si>
    <t>WP8 - Unspecified / Open Entry</t>
  </si>
  <si>
    <t>Unspecified (ICN)</t>
  </si>
  <si>
    <t>General Expression of Interest</t>
  </si>
  <si>
    <t>NEOEN AUSTRALIA PTY. LTD.</t>
  </si>
  <si>
    <t>Energy - EOI (ICN)</t>
  </si>
  <si>
    <t>Hengameh Kiani</t>
  </si>
  <si>
    <t>+61 08 9365 7543</t>
  </si>
  <si>
    <t>hengameh.kiani@icnwa.org.au</t>
  </si>
  <si>
    <t>https://gateway.icn.org.au/projects/16373/pg-16373</t>
  </si>
  <si>
    <t>Andie Pfaff</t>
  </si>
  <si>
    <t>+61 08 9365 7442</t>
  </si>
  <si>
    <t>andie.pfaff@icnwa.org.au</t>
  </si>
  <si>
    <t>https://gateway.icn.org.au/projects/16372/pg-16372</t>
  </si>
  <si>
    <t>Alinta Energy</t>
  </si>
  <si>
    <t>https://gateway.icn.org.au/projects/15745</t>
  </si>
  <si>
    <t>BLUESCOPE FUTURE TECHNOLOGIES PTY LTD</t>
  </si>
  <si>
    <t>Steel/energy - EOI (ICN)</t>
  </si>
  <si>
    <t>https://gateway.icn.org.au/projects/16240</t>
  </si>
  <si>
    <t>Keep me updated</t>
  </si>
  <si>
    <t>AUSTRALIAN VANADIUM LIMITED</t>
  </si>
  <si>
    <t>Mining - updates (ICN)</t>
  </si>
  <si>
    <t>https://gateway.icn.org.au/projects/4997</t>
  </si>
  <si>
    <t>Supplier Capability Questionnaire</t>
  </si>
  <si>
    <t>SSN-AUKUS Build Program - Industry Opportunities</t>
  </si>
  <si>
    <t>Defence questionnaire (ICN)</t>
  </si>
  <si>
    <t>https://gateway.icn.org.au/projects/5284</t>
  </si>
  <si>
    <t>Civil Works</t>
  </si>
  <si>
    <t>Civil works (ICN)</t>
  </si>
  <si>
    <t>ICN access:</t>
  </si>
  <si>
    <t>These pages need an ICN Gateway login. WASEC should hold an institutional account - if access is missing, request it (PK 673 furniture/joinery, a real GreenChair/Goodwill match, sits behind this wall).</t>
  </si>
  <si>
    <t>How this list was made - and what it cannot see</t>
  </si>
  <si>
    <t>Pipeline</t>
  </si>
  <si>
    <t>687 scraped opportunities (WA Tenders 171, AusTender 473, ICN 38, GTE 5; snapshot 17 Jun 2026) -&gt; V6.1 rule engine (keyword scoring + 7 evidence-backed exclusion rules + hard-goods suppression + member category matching) -&gt; 48-row review queue -&gt; live human verification (9 &amp; 11 Jul).</t>
  </si>
  <si>
    <t>Rules inherited from earlier versions</t>
  </si>
  <si>
    <t>Test/demo exclusion (2 caught) - agricultural R&amp;D downgrade (5) - duplicate detection (8) - overseas delivery (10) - interstate flag (10) - agency-boilerplate guard - object/context conflict downgrade (27) - hard-goods suppression (14).</t>
  </si>
  <si>
    <t>Human verification is a pipeline stage</t>
  </si>
  <si>
    <t>Round 1 changed 7 of 11 verdicts; round 2 changed 3 of 5. What changed them is invisible to text rules: mandatory briefings already closed, alliance-/credential-only eligibility, stale snapshot dates, object-vs-title mismatches.</t>
  </si>
  <si>
    <t>Known blind spot 1 - briefings &amp; gates</t>
  </si>
  <si>
    <t>Mandatory site briefings and panel/alliance restrictions cannot be detected from tender text. Only opening the live page reveals them.</t>
  </si>
  <si>
    <t>Known blind spot 2 - ICN login wall</t>
  </si>
  <si>
    <t>20 records have no scraped detail. The 10 substantive ones (L1) need someone with an ICN account; they are listed, not silently dropped.</t>
  </si>
  <si>
    <t>Known blind spot 3 - member matching is indicative only</t>
  </si>
  <si>
    <t>Category matching still over-includes when a broad word (research, maintenance) appears incidentally. Treat the Members column as a starting hint; confirm real capability before contacting anyone.</t>
  </si>
  <si>
    <t>Social impact in contracts - an honest finding</t>
  </si>
  <si>
    <t>You asked which contracts are seeking social impact. Across all 687 opportunities, NOT ONE carried an explicit social-procurement clause (no social enterprise / supplier diversity / buy-social requirement). Fifteen contain community or wellbeing wording, but it comes from the service category itself rather than a buyer requirement - so they are not marked as social-impact opportunities. The absence is itself useful: WA's social procurement framework is not yet appearing in tender documents.</t>
  </si>
  <si>
    <t>Industry column</t>
  </si>
  <si>
    <t>Cleaned from each platform's own category field. WA Tenders uses readable labels, AusTender uses UNSPSC codes, and ICN records carry none - for those the industry is inferred from the work-package title.</t>
  </si>
  <si>
    <t>Re-running on new data</t>
  </si>
  <si>
    <t>Load a new scrape into master_opportunities and run wasec_filter_v6_1_COMPLETE.sql. See WASEC_v6_1_RUNBOOK.md. Every new snapshot needs its own verification round.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</si>
</sst>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"/>
    </font>
    <font>
      <b/>
      <sz val="16"/>
      <color rgb="FF1F3864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9"/>
      <color rgb="FF555555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DCDB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6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6EFCE"/>
      <rgbColor rgb="00FFFF99"/>
      <rgbColor rgb="0099CCFF"/>
      <rgbColor rgb="00FF99CC"/>
      <rgbColor rgb="00CC99FF"/>
      <rgbColor rgb="00F2DCDB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6"/>
  <sheetViews>
    <sheetView showGridLines="0" workbookViewId="0">
      <selection activeCell="A1" sqref="A1"/>
    </sheetView>
  </sheetViews>
  <sheetFormatPr defaultColWidth="8.67619047619048" defaultRowHeight="15" outlineLevelCol="2"/>
  <cols>
    <col min="2" max="2" width="46" customWidth="1"/>
    <col min="3" max="3" width="96" customWidth="1"/>
  </cols>
  <sheetData>
    <row r="2" ht="20.25" spans="2:3">
      <c r="B2" s="1" t="s">
        <v>0</v>
      </c>
    </row>
    <row r="3" spans="2:3">
      <c r="B3" s="13" t="s">
        <v>1</v>
      </c>
    </row>
    <row r="5" spans="2:3">
      <c r="B5" s="8"/>
      <c r="C5" s="3"/>
    </row>
    <row r="6" ht="15.75" spans="2:3">
      <c r="B6" s="2" t="s">
        <v>2</v>
      </c>
      <c r="C6" s="3"/>
    </row>
    <row r="7" ht="25.5" spans="2:3">
      <c r="B7" s="8" t="s">
        <v>3</v>
      </c>
      <c r="C7" s="3" t="s">
        <v>4</v>
      </c>
    </row>
    <row r="8" spans="2:3">
      <c r="B8" s="8"/>
      <c r="C8" s="3"/>
    </row>
    <row r="9" ht="15.75" spans="2:3">
      <c r="B9" s="2" t="s">
        <v>5</v>
      </c>
      <c r="C9" s="3"/>
    </row>
    <row r="10" ht="25.5" spans="2:3">
      <c r="B10" s="8" t="s">
        <v>6</v>
      </c>
      <c r="C10" s="3" t="s">
        <v>7</v>
      </c>
    </row>
    <row r="11" spans="2:3">
      <c r="B11" s="8" t="s">
        <v>8</v>
      </c>
      <c r="C11" s="3" t="s">
        <v>9</v>
      </c>
    </row>
    <row r="12" spans="2:3">
      <c r="B12" s="8"/>
      <c r="C12" s="3"/>
    </row>
    <row r="13" ht="15.75" spans="2:3">
      <c r="B13" s="2" t="s">
        <v>10</v>
      </c>
      <c r="C13" s="3"/>
    </row>
    <row r="14" spans="2:3">
      <c r="B14" s="8" t="s">
        <v>11</v>
      </c>
      <c r="C14" s="3" t="s">
        <v>12</v>
      </c>
    </row>
    <row r="15" spans="2:3">
      <c r="B15" s="8" t="s">
        <v>13</v>
      </c>
      <c r="C15" s="3" t="s">
        <v>14</v>
      </c>
    </row>
    <row r="16" spans="2:3">
      <c r="B16" s="8" t="s">
        <v>15</v>
      </c>
      <c r="C16" s="3" t="s">
        <v>16</v>
      </c>
    </row>
    <row r="17" spans="2:3">
      <c r="B17" s="8"/>
      <c r="C17" s="3"/>
    </row>
    <row r="18" ht="15.75" spans="2:3">
      <c r="B18" s="2" t="s">
        <v>17</v>
      </c>
      <c r="C18" s="3"/>
    </row>
    <row r="19" spans="2:3">
      <c r="B19" s="14" t="s">
        <v>18</v>
      </c>
      <c r="C19" s="8">
        <f>COUNTIF(Queue!B:B,"H")</f>
        <v>9</v>
      </c>
    </row>
    <row r="20" spans="2:3">
      <c r="B20" s="14" t="s">
        <v>19</v>
      </c>
      <c r="C20" s="8">
        <f>COUNTIF(Queue!B:B,"C")</f>
        <v>13</v>
      </c>
    </row>
    <row r="21" spans="2:3">
      <c r="B21" s="14" t="s">
        <v>20</v>
      </c>
      <c r="C21" s="8">
        <f>COUNTIF(Queue!B:B,"D")</f>
        <v>7</v>
      </c>
    </row>
    <row r="22" spans="2:3">
      <c r="B22" s="14" t="s">
        <v>21</v>
      </c>
      <c r="C22" s="8">
        <f>COUNTIF(Queue!B:B,"B")</f>
        <v>1</v>
      </c>
    </row>
    <row r="23" spans="2:3">
      <c r="B23" s="14" t="s">
        <v>22</v>
      </c>
      <c r="C23" s="8">
        <f>COUNTIF('Login Wall (ICN)'!B:B,"L1")</f>
        <v>8</v>
      </c>
    </row>
    <row r="24" spans="2:3">
      <c r="B24" s="14" t="s">
        <v>23</v>
      </c>
      <c r="C24" s="8">
        <f>COUNTIF('Login Wall (ICN)'!B:B,"L3")</f>
        <v>10</v>
      </c>
    </row>
    <row r="26" ht="25.5" spans="2:3">
      <c r="B26" s="2" t="s">
        <v>24</v>
      </c>
      <c r="C26" s="3" t="s">
        <v>25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pane ySplit="1" topLeftCell="A28" activePane="bottomLeft" state="frozen"/>
      <selection/>
      <selection pane="bottomLeft" activeCell="F23" sqref="F23"/>
    </sheetView>
  </sheetViews>
  <sheetFormatPr defaultColWidth="8.67619047619048" defaultRowHeight="15"/>
  <cols>
    <col min="1" max="2" width="6" customWidth="1"/>
    <col min="3" max="3" width="20" customWidth="1"/>
    <col min="4" max="4" width="50" customWidth="1"/>
    <col min="5" max="5" width="28" customWidth="1"/>
    <col min="6" max="6" width="26" customWidth="1"/>
    <col min="7" max="7" width="32" customWidth="1"/>
    <col min="8" max="8" width="18" customWidth="1"/>
    <col min="9" max="9" width="38" customWidth="1"/>
    <col min="10" max="10" width="20" customWidth="1"/>
    <col min="11" max="11" width="14" customWidth="1"/>
    <col min="12" max="12" width="28" customWidth="1"/>
    <col min="13" max="13" width="58" customWidth="1"/>
    <col min="14" max="14" width="42" customWidth="1"/>
  </cols>
  <sheetData>
    <row r="1" spans="1:14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</row>
    <row r="2" ht="51" spans="1:14">
      <c r="A2" s="9">
        <v>127</v>
      </c>
      <c r="B2" s="9" t="s">
        <v>40</v>
      </c>
      <c r="C2" s="9" t="s">
        <v>41</v>
      </c>
      <c r="D2" s="9" t="s">
        <v>42</v>
      </c>
      <c r="E2" s="9" t="s">
        <v>43</v>
      </c>
      <c r="F2" s="9" t="s">
        <v>44</v>
      </c>
      <c r="G2" s="9" t="s">
        <v>45</v>
      </c>
      <c r="H2" s="9" t="s">
        <v>46</v>
      </c>
      <c r="I2" s="9" t="s">
        <v>47</v>
      </c>
      <c r="J2" s="9" t="s">
        <v>48</v>
      </c>
      <c r="K2" s="9"/>
      <c r="L2" s="9" t="s">
        <v>49</v>
      </c>
      <c r="M2" s="9" t="s">
        <v>50</v>
      </c>
      <c r="N2" s="9" t="s">
        <v>51</v>
      </c>
    </row>
    <row r="3" ht="76.5" spans="1:14">
      <c r="A3" s="10">
        <v>135</v>
      </c>
      <c r="B3" s="10" t="s">
        <v>40</v>
      </c>
      <c r="C3" s="10" t="s">
        <v>52</v>
      </c>
      <c r="D3" s="10" t="s">
        <v>53</v>
      </c>
      <c r="E3" s="10" t="s">
        <v>54</v>
      </c>
      <c r="F3" s="10" t="s">
        <v>55</v>
      </c>
      <c r="G3" s="10" t="s">
        <v>45</v>
      </c>
      <c r="H3" s="10" t="s">
        <v>56</v>
      </c>
      <c r="I3" s="10" t="s">
        <v>57</v>
      </c>
      <c r="J3" s="10" t="s">
        <v>58</v>
      </c>
      <c r="K3" s="10" t="s">
        <v>59</v>
      </c>
      <c r="L3" s="10" t="s">
        <v>60</v>
      </c>
      <c r="M3" s="10" t="s">
        <v>61</v>
      </c>
      <c r="N3" s="10" t="s">
        <v>62</v>
      </c>
    </row>
    <row r="4" ht="63.75" spans="1:14">
      <c r="A4" s="11">
        <v>155</v>
      </c>
      <c r="B4" s="11" t="s">
        <v>40</v>
      </c>
      <c r="C4" s="11" t="s">
        <v>63</v>
      </c>
      <c r="D4" s="11" t="s">
        <v>64</v>
      </c>
      <c r="E4" s="11" t="s">
        <v>65</v>
      </c>
      <c r="F4" s="11" t="s">
        <v>66</v>
      </c>
      <c r="G4" s="11" t="s">
        <v>45</v>
      </c>
      <c r="H4" s="11" t="s">
        <v>67</v>
      </c>
      <c r="I4" s="11" t="s">
        <v>68</v>
      </c>
      <c r="J4" s="11" t="s">
        <v>69</v>
      </c>
      <c r="K4" s="11" t="s">
        <v>70</v>
      </c>
      <c r="L4" s="11" t="s">
        <v>71</v>
      </c>
      <c r="M4" s="11" t="s">
        <v>72</v>
      </c>
      <c r="N4" s="11" t="s">
        <v>73</v>
      </c>
    </row>
    <row r="5" ht="51" spans="1:14">
      <c r="A5" s="11">
        <v>164</v>
      </c>
      <c r="B5" s="11" t="s">
        <v>40</v>
      </c>
      <c r="C5" s="11" t="s">
        <v>74</v>
      </c>
      <c r="D5" s="11" t="s">
        <v>75</v>
      </c>
      <c r="E5" s="11" t="s">
        <v>76</v>
      </c>
      <c r="F5" s="11" t="s">
        <v>77</v>
      </c>
      <c r="G5" s="11" t="s">
        <v>45</v>
      </c>
      <c r="H5" s="11" t="s">
        <v>78</v>
      </c>
      <c r="I5" s="11" t="s">
        <v>79</v>
      </c>
      <c r="J5" s="11" t="s">
        <v>80</v>
      </c>
      <c r="K5" s="11"/>
      <c r="L5" s="11" t="s">
        <v>81</v>
      </c>
      <c r="M5" s="11" t="s">
        <v>82</v>
      </c>
      <c r="N5" s="11" t="s">
        <v>83</v>
      </c>
    </row>
    <row r="6" ht="51" spans="1:14">
      <c r="A6" s="11">
        <v>168</v>
      </c>
      <c r="B6" s="11" t="s">
        <v>40</v>
      </c>
      <c r="C6" s="11" t="s">
        <v>84</v>
      </c>
      <c r="D6" s="11" t="s">
        <v>85</v>
      </c>
      <c r="E6" s="11" t="s">
        <v>86</v>
      </c>
      <c r="F6" s="11" t="s">
        <v>87</v>
      </c>
      <c r="G6" s="11" t="s">
        <v>45</v>
      </c>
      <c r="H6" s="11" t="s">
        <v>88</v>
      </c>
      <c r="I6" s="11" t="s">
        <v>89</v>
      </c>
      <c r="J6" s="11" t="s">
        <v>90</v>
      </c>
      <c r="K6" s="11" t="s">
        <v>91</v>
      </c>
      <c r="L6" s="11" t="s">
        <v>92</v>
      </c>
      <c r="M6" s="11" t="s">
        <v>93</v>
      </c>
      <c r="N6" s="11" t="s">
        <v>94</v>
      </c>
    </row>
    <row r="7" ht="38.25" spans="1:14">
      <c r="A7" s="9">
        <v>195</v>
      </c>
      <c r="B7" s="9" t="s">
        <v>40</v>
      </c>
      <c r="C7" s="9" t="s">
        <v>95</v>
      </c>
      <c r="D7" s="9" t="s">
        <v>96</v>
      </c>
      <c r="E7" s="9" t="s">
        <v>97</v>
      </c>
      <c r="F7" s="9" t="s">
        <v>98</v>
      </c>
      <c r="G7" s="9" t="s">
        <v>99</v>
      </c>
      <c r="H7" s="9" t="s">
        <v>100</v>
      </c>
      <c r="I7" s="9" t="s">
        <v>101</v>
      </c>
      <c r="J7" s="9" t="s">
        <v>102</v>
      </c>
      <c r="K7" s="9"/>
      <c r="L7" s="9" t="s">
        <v>103</v>
      </c>
      <c r="M7" s="9" t="s">
        <v>104</v>
      </c>
      <c r="N7" s="9" t="s">
        <v>105</v>
      </c>
    </row>
    <row r="8" ht="25.5" spans="1:14">
      <c r="A8" s="9">
        <v>210</v>
      </c>
      <c r="B8" s="9" t="s">
        <v>40</v>
      </c>
      <c r="C8" s="9" t="s">
        <v>106</v>
      </c>
      <c r="D8" s="9" t="s">
        <v>107</v>
      </c>
      <c r="E8" s="9" t="s">
        <v>108</v>
      </c>
      <c r="F8" s="9" t="s">
        <v>109</v>
      </c>
      <c r="G8" s="9" t="s">
        <v>99</v>
      </c>
      <c r="H8" s="9" t="s">
        <v>110</v>
      </c>
      <c r="I8" s="9" t="s">
        <v>111</v>
      </c>
      <c r="J8" s="9" t="s">
        <v>112</v>
      </c>
      <c r="K8" s="9"/>
      <c r="L8" s="9" t="s">
        <v>113</v>
      </c>
      <c r="M8" s="9" t="s">
        <v>114</v>
      </c>
      <c r="N8" s="9" t="s">
        <v>115</v>
      </c>
    </row>
    <row r="9" ht="38.25" spans="1:14">
      <c r="A9" s="7">
        <v>673</v>
      </c>
      <c r="B9" s="7" t="s">
        <v>40</v>
      </c>
      <c r="C9" s="7" t="s">
        <v>116</v>
      </c>
      <c r="D9" s="7" t="s">
        <v>117</v>
      </c>
      <c r="E9" s="7" t="s">
        <v>118</v>
      </c>
      <c r="F9" s="7" t="s">
        <v>119</v>
      </c>
      <c r="G9" s="7" t="s">
        <v>120</v>
      </c>
      <c r="H9" s="7"/>
      <c r="I9" s="7" t="s">
        <v>47</v>
      </c>
      <c r="J9" s="7" t="s">
        <v>121</v>
      </c>
      <c r="K9" s="7"/>
      <c r="L9" s="7" t="s">
        <v>122</v>
      </c>
      <c r="M9" s="7" t="s">
        <v>123</v>
      </c>
      <c r="N9" s="7" t="s">
        <v>124</v>
      </c>
    </row>
    <row r="10" ht="25.5" spans="1:14">
      <c r="A10" s="9">
        <v>687</v>
      </c>
      <c r="B10" s="9" t="s">
        <v>40</v>
      </c>
      <c r="C10" s="9" t="s">
        <v>125</v>
      </c>
      <c r="D10" s="9" t="s">
        <v>126</v>
      </c>
      <c r="E10" s="9" t="s">
        <v>127</v>
      </c>
      <c r="F10" s="9" t="s">
        <v>128</v>
      </c>
      <c r="G10" s="9" t="s">
        <v>120</v>
      </c>
      <c r="H10" s="9" t="s">
        <v>129</v>
      </c>
      <c r="I10" s="9" t="s">
        <v>47</v>
      </c>
      <c r="J10" s="9" t="s">
        <v>130</v>
      </c>
      <c r="K10" s="9" t="s">
        <v>131</v>
      </c>
      <c r="L10" s="9" t="s">
        <v>132</v>
      </c>
      <c r="M10" s="9" t="s">
        <v>133</v>
      </c>
      <c r="N10" s="9" t="s">
        <v>134</v>
      </c>
    </row>
    <row r="11" ht="25.5" spans="1:14">
      <c r="A11" s="7">
        <v>213</v>
      </c>
      <c r="B11" s="7" t="s">
        <v>135</v>
      </c>
      <c r="C11" s="7"/>
      <c r="D11" s="7" t="s">
        <v>136</v>
      </c>
      <c r="E11" s="7" t="s">
        <v>137</v>
      </c>
      <c r="F11" s="7" t="s">
        <v>138</v>
      </c>
      <c r="G11" s="7" t="s">
        <v>99</v>
      </c>
      <c r="H11" s="7" t="s">
        <v>139</v>
      </c>
      <c r="I11" s="7" t="s">
        <v>140</v>
      </c>
      <c r="J11" s="7" t="s">
        <v>141</v>
      </c>
      <c r="K11" s="7" t="s">
        <v>142</v>
      </c>
      <c r="L11" s="7" t="s">
        <v>143</v>
      </c>
      <c r="M11" s="7" t="s">
        <v>144</v>
      </c>
      <c r="N11" s="7" t="s">
        <v>145</v>
      </c>
    </row>
    <row r="12" ht="51" spans="1:14">
      <c r="A12" s="12">
        <v>122</v>
      </c>
      <c r="B12" s="12" t="s">
        <v>146</v>
      </c>
      <c r="C12" s="12"/>
      <c r="D12" s="12" t="s">
        <v>147</v>
      </c>
      <c r="E12" s="12" t="s">
        <v>54</v>
      </c>
      <c r="F12" s="12" t="s">
        <v>44</v>
      </c>
      <c r="G12" s="12" t="s">
        <v>45</v>
      </c>
      <c r="H12" s="12" t="s">
        <v>148</v>
      </c>
      <c r="I12" s="12" t="s">
        <v>140</v>
      </c>
      <c r="J12" s="12" t="s">
        <v>149</v>
      </c>
      <c r="K12" s="12" t="s">
        <v>150</v>
      </c>
      <c r="L12" s="12" t="s">
        <v>151</v>
      </c>
      <c r="M12" s="12" t="s">
        <v>144</v>
      </c>
      <c r="N12" s="12" t="s">
        <v>152</v>
      </c>
    </row>
    <row r="13" ht="51" spans="1:14">
      <c r="A13" s="7">
        <v>124</v>
      </c>
      <c r="B13" s="7" t="s">
        <v>146</v>
      </c>
      <c r="C13" s="7"/>
      <c r="D13" s="7" t="s">
        <v>153</v>
      </c>
      <c r="E13" s="7" t="s">
        <v>154</v>
      </c>
      <c r="F13" s="7" t="s">
        <v>155</v>
      </c>
      <c r="G13" s="7" t="s">
        <v>45</v>
      </c>
      <c r="H13" s="7" t="s">
        <v>148</v>
      </c>
      <c r="I13" s="7" t="s">
        <v>111</v>
      </c>
      <c r="J13" s="7" t="s">
        <v>156</v>
      </c>
      <c r="K13" s="7"/>
      <c r="L13" s="7" t="s">
        <v>157</v>
      </c>
      <c r="M13" s="7" t="s">
        <v>144</v>
      </c>
      <c r="N13" s="7" t="s">
        <v>158</v>
      </c>
    </row>
    <row r="14" ht="51" spans="1:14">
      <c r="A14" s="12">
        <v>125</v>
      </c>
      <c r="B14" s="12" t="s">
        <v>146</v>
      </c>
      <c r="C14" s="12"/>
      <c r="D14" s="12" t="s">
        <v>159</v>
      </c>
      <c r="E14" s="12" t="s">
        <v>160</v>
      </c>
      <c r="F14" s="12" t="s">
        <v>161</v>
      </c>
      <c r="G14" s="12" t="s">
        <v>99</v>
      </c>
      <c r="H14" s="12" t="s">
        <v>162</v>
      </c>
      <c r="I14" s="12" t="s">
        <v>140</v>
      </c>
      <c r="J14" s="12" t="s">
        <v>163</v>
      </c>
      <c r="K14" s="12" t="s">
        <v>164</v>
      </c>
      <c r="L14" s="12" t="s">
        <v>165</v>
      </c>
      <c r="M14" s="12" t="s">
        <v>144</v>
      </c>
      <c r="N14" s="12" t="s">
        <v>166</v>
      </c>
    </row>
    <row r="15" ht="51" spans="1:14">
      <c r="A15" s="7">
        <v>137</v>
      </c>
      <c r="B15" s="7" t="s">
        <v>146</v>
      </c>
      <c r="C15" s="7"/>
      <c r="D15" s="7" t="s">
        <v>167</v>
      </c>
      <c r="E15" s="7" t="s">
        <v>168</v>
      </c>
      <c r="F15" s="7" t="s">
        <v>169</v>
      </c>
      <c r="G15" s="7" t="s">
        <v>99</v>
      </c>
      <c r="H15" s="7" t="s">
        <v>170</v>
      </c>
      <c r="I15" s="7" t="s">
        <v>111</v>
      </c>
      <c r="J15" s="7" t="s">
        <v>171</v>
      </c>
      <c r="K15" s="7" t="s">
        <v>172</v>
      </c>
      <c r="L15" s="7" t="s">
        <v>173</v>
      </c>
      <c r="M15" s="7" t="s">
        <v>144</v>
      </c>
      <c r="N15" s="7" t="s">
        <v>174</v>
      </c>
    </row>
    <row r="16" ht="51" spans="1:14">
      <c r="A16" s="12">
        <v>139</v>
      </c>
      <c r="B16" s="12" t="s">
        <v>146</v>
      </c>
      <c r="C16" s="12"/>
      <c r="D16" s="12" t="s">
        <v>175</v>
      </c>
      <c r="E16" s="12" t="s">
        <v>176</v>
      </c>
      <c r="F16" s="12" t="s">
        <v>177</v>
      </c>
      <c r="G16" s="12" t="s">
        <v>45</v>
      </c>
      <c r="H16" s="12" t="s">
        <v>178</v>
      </c>
      <c r="I16" s="12" t="s">
        <v>89</v>
      </c>
      <c r="J16" s="12" t="s">
        <v>179</v>
      </c>
      <c r="K16" s="12" t="s">
        <v>180</v>
      </c>
      <c r="L16" s="12" t="s">
        <v>181</v>
      </c>
      <c r="M16" s="12" t="s">
        <v>144</v>
      </c>
      <c r="N16" s="12" t="s">
        <v>182</v>
      </c>
    </row>
    <row r="17" ht="51" spans="1:14">
      <c r="A17" s="7">
        <v>147</v>
      </c>
      <c r="B17" s="7" t="s">
        <v>146</v>
      </c>
      <c r="C17" s="7"/>
      <c r="D17" s="7" t="s">
        <v>183</v>
      </c>
      <c r="E17" s="7" t="s">
        <v>54</v>
      </c>
      <c r="F17" s="7" t="s">
        <v>184</v>
      </c>
      <c r="G17" s="7" t="s">
        <v>45</v>
      </c>
      <c r="H17" s="7" t="s">
        <v>185</v>
      </c>
      <c r="I17" s="7" t="s">
        <v>47</v>
      </c>
      <c r="J17" s="7" t="s">
        <v>186</v>
      </c>
      <c r="K17" s="7" t="s">
        <v>187</v>
      </c>
      <c r="L17" s="7" t="s">
        <v>188</v>
      </c>
      <c r="M17" s="7" t="s">
        <v>144</v>
      </c>
      <c r="N17" s="7" t="s">
        <v>189</v>
      </c>
    </row>
    <row r="18" ht="51" spans="1:14">
      <c r="A18" s="12">
        <v>150</v>
      </c>
      <c r="B18" s="12" t="s">
        <v>146</v>
      </c>
      <c r="C18" s="12"/>
      <c r="D18" s="12" t="s">
        <v>190</v>
      </c>
      <c r="E18" s="12" t="s">
        <v>54</v>
      </c>
      <c r="F18" s="12" t="s">
        <v>44</v>
      </c>
      <c r="G18" s="12" t="s">
        <v>45</v>
      </c>
      <c r="H18" s="12" t="s">
        <v>191</v>
      </c>
      <c r="I18" s="12" t="s">
        <v>140</v>
      </c>
      <c r="J18" s="12" t="s">
        <v>192</v>
      </c>
      <c r="K18" s="12" t="s">
        <v>193</v>
      </c>
      <c r="L18" s="12" t="s">
        <v>194</v>
      </c>
      <c r="M18" s="12" t="s">
        <v>144</v>
      </c>
      <c r="N18" s="12" t="s">
        <v>195</v>
      </c>
    </row>
    <row r="19" ht="51" spans="1:14">
      <c r="A19" s="7">
        <v>154</v>
      </c>
      <c r="B19" s="7" t="s">
        <v>146</v>
      </c>
      <c r="C19" s="7"/>
      <c r="D19" s="7" t="s">
        <v>196</v>
      </c>
      <c r="E19" s="7" t="s">
        <v>197</v>
      </c>
      <c r="F19" s="7" t="s">
        <v>198</v>
      </c>
      <c r="G19" s="7" t="s">
        <v>45</v>
      </c>
      <c r="H19" s="7" t="s">
        <v>185</v>
      </c>
      <c r="I19" s="7" t="s">
        <v>89</v>
      </c>
      <c r="J19" s="7" t="s">
        <v>199</v>
      </c>
      <c r="K19" s="7" t="s">
        <v>200</v>
      </c>
      <c r="L19" s="7" t="s">
        <v>201</v>
      </c>
      <c r="M19" s="7" t="s">
        <v>144</v>
      </c>
      <c r="N19" s="7" t="s">
        <v>202</v>
      </c>
    </row>
    <row r="20" ht="51" spans="1:14">
      <c r="A20" s="12">
        <v>157</v>
      </c>
      <c r="B20" s="12" t="s">
        <v>146</v>
      </c>
      <c r="C20" s="12"/>
      <c r="D20" s="12" t="s">
        <v>203</v>
      </c>
      <c r="E20" s="12" t="s">
        <v>65</v>
      </c>
      <c r="F20" s="12" t="s">
        <v>204</v>
      </c>
      <c r="G20" s="12" t="s">
        <v>99</v>
      </c>
      <c r="H20" s="12" t="s">
        <v>205</v>
      </c>
      <c r="I20" s="12" t="s">
        <v>206</v>
      </c>
      <c r="J20" s="12" t="s">
        <v>207</v>
      </c>
      <c r="K20" s="12" t="s">
        <v>208</v>
      </c>
      <c r="L20" s="12" t="s">
        <v>209</v>
      </c>
      <c r="M20" s="12" t="s">
        <v>144</v>
      </c>
      <c r="N20" s="12" t="s">
        <v>210</v>
      </c>
    </row>
    <row r="21" ht="25.5" spans="1:14">
      <c r="A21" s="7">
        <v>191</v>
      </c>
      <c r="B21" s="7" t="s">
        <v>146</v>
      </c>
      <c r="C21" s="7"/>
      <c r="D21" s="7" t="s">
        <v>211</v>
      </c>
      <c r="E21" s="7" t="s">
        <v>212</v>
      </c>
      <c r="F21" s="7" t="s">
        <v>213</v>
      </c>
      <c r="G21" s="7" t="s">
        <v>99</v>
      </c>
      <c r="H21" s="7" t="s">
        <v>214</v>
      </c>
      <c r="I21" s="7" t="s">
        <v>89</v>
      </c>
      <c r="J21" s="7" t="s">
        <v>215</v>
      </c>
      <c r="K21" s="7"/>
      <c r="L21" s="7" t="s">
        <v>216</v>
      </c>
      <c r="M21" s="7" t="s">
        <v>144</v>
      </c>
      <c r="N21" s="7" t="s">
        <v>217</v>
      </c>
    </row>
    <row r="22" ht="25.5" spans="1:14">
      <c r="A22" s="12">
        <v>193</v>
      </c>
      <c r="B22" s="12" t="s">
        <v>146</v>
      </c>
      <c r="C22" s="12"/>
      <c r="D22" s="12" t="s">
        <v>218</v>
      </c>
      <c r="E22" s="12" t="s">
        <v>212</v>
      </c>
      <c r="F22" s="12" t="s">
        <v>213</v>
      </c>
      <c r="G22" s="12" t="s">
        <v>99</v>
      </c>
      <c r="H22" s="12" t="s">
        <v>219</v>
      </c>
      <c r="I22" s="12" t="s">
        <v>220</v>
      </c>
      <c r="J22" s="12" t="s">
        <v>221</v>
      </c>
      <c r="K22" s="12"/>
      <c r="L22" s="12" t="s">
        <v>222</v>
      </c>
      <c r="M22" s="12" t="s">
        <v>144</v>
      </c>
      <c r="N22" s="12" t="s">
        <v>223</v>
      </c>
    </row>
    <row r="23" ht="25.5" spans="1:14">
      <c r="A23" s="7">
        <v>670</v>
      </c>
      <c r="B23" s="7" t="s">
        <v>146</v>
      </c>
      <c r="C23" s="7"/>
      <c r="D23" s="7" t="s">
        <v>224</v>
      </c>
      <c r="E23" s="7" t="s">
        <v>118</v>
      </c>
      <c r="F23" s="7" t="s">
        <v>225</v>
      </c>
      <c r="G23" s="7" t="s">
        <v>99</v>
      </c>
      <c r="H23" s="7"/>
      <c r="I23" s="7" t="s">
        <v>47</v>
      </c>
      <c r="J23" s="7" t="s">
        <v>121</v>
      </c>
      <c r="K23" s="7"/>
      <c r="L23" s="7" t="s">
        <v>122</v>
      </c>
      <c r="M23" s="7" t="s">
        <v>144</v>
      </c>
      <c r="N23" s="7" t="s">
        <v>124</v>
      </c>
    </row>
    <row r="24" ht="25.5" spans="1:14">
      <c r="A24" s="12">
        <v>676</v>
      </c>
      <c r="B24" s="12" t="s">
        <v>146</v>
      </c>
      <c r="C24" s="12"/>
      <c r="D24" s="12" t="s">
        <v>226</v>
      </c>
      <c r="E24" s="12" t="s">
        <v>227</v>
      </c>
      <c r="F24" s="12" t="s">
        <v>228</v>
      </c>
      <c r="G24" s="12" t="s">
        <v>99</v>
      </c>
      <c r="H24" s="12" t="s">
        <v>229</v>
      </c>
      <c r="I24" s="12" t="s">
        <v>89</v>
      </c>
      <c r="J24" s="12" t="s">
        <v>227</v>
      </c>
      <c r="K24" s="12"/>
      <c r="L24" s="12" t="s">
        <v>230</v>
      </c>
      <c r="M24" s="12" t="s">
        <v>144</v>
      </c>
      <c r="N24" s="12" t="s">
        <v>231</v>
      </c>
    </row>
    <row r="25" ht="51" spans="1:14">
      <c r="A25" s="7">
        <v>136</v>
      </c>
      <c r="B25" s="7" t="s">
        <v>232</v>
      </c>
      <c r="C25" s="7"/>
      <c r="D25" s="7" t="s">
        <v>233</v>
      </c>
      <c r="E25" s="7" t="s">
        <v>43</v>
      </c>
      <c r="F25" s="7" t="s">
        <v>234</v>
      </c>
      <c r="G25" s="7" t="s">
        <v>99</v>
      </c>
      <c r="H25" s="7" t="s">
        <v>235</v>
      </c>
      <c r="I25" s="7" t="s">
        <v>47</v>
      </c>
      <c r="J25" s="7" t="s">
        <v>236</v>
      </c>
      <c r="K25" s="7"/>
      <c r="L25" s="7" t="s">
        <v>49</v>
      </c>
      <c r="M25" s="7" t="s">
        <v>144</v>
      </c>
      <c r="N25" s="7" t="s">
        <v>237</v>
      </c>
    </row>
    <row r="26" ht="51" spans="1:14">
      <c r="A26" s="12">
        <v>138</v>
      </c>
      <c r="B26" s="12" t="s">
        <v>232</v>
      </c>
      <c r="C26" s="12"/>
      <c r="D26" s="12" t="s">
        <v>238</v>
      </c>
      <c r="E26" s="12" t="s">
        <v>239</v>
      </c>
      <c r="F26" s="12" t="s">
        <v>240</v>
      </c>
      <c r="G26" s="12" t="s">
        <v>45</v>
      </c>
      <c r="H26" s="12" t="s">
        <v>241</v>
      </c>
      <c r="I26" s="12" t="s">
        <v>111</v>
      </c>
      <c r="J26" s="12" t="s">
        <v>242</v>
      </c>
      <c r="K26" s="12" t="s">
        <v>243</v>
      </c>
      <c r="L26" s="12" t="s">
        <v>244</v>
      </c>
      <c r="M26" s="12" t="s">
        <v>144</v>
      </c>
      <c r="N26" s="12" t="s">
        <v>245</v>
      </c>
    </row>
    <row r="27" ht="51" spans="1:14">
      <c r="A27" s="7">
        <v>141</v>
      </c>
      <c r="B27" s="7" t="s">
        <v>232</v>
      </c>
      <c r="C27" s="7"/>
      <c r="D27" s="7" t="s">
        <v>246</v>
      </c>
      <c r="E27" s="7" t="s">
        <v>247</v>
      </c>
      <c r="F27" s="7" t="s">
        <v>248</v>
      </c>
      <c r="G27" s="7" t="s">
        <v>45</v>
      </c>
      <c r="H27" s="7" t="s">
        <v>249</v>
      </c>
      <c r="I27" s="7" t="s">
        <v>250</v>
      </c>
      <c r="J27" s="7" t="s">
        <v>251</v>
      </c>
      <c r="K27" s="7" t="s">
        <v>252</v>
      </c>
      <c r="L27" s="7" t="s">
        <v>253</v>
      </c>
      <c r="M27" s="7" t="s">
        <v>144</v>
      </c>
      <c r="N27" s="7" t="s">
        <v>254</v>
      </c>
    </row>
    <row r="28" ht="51" spans="1:14">
      <c r="A28" s="12">
        <v>160</v>
      </c>
      <c r="B28" s="12" t="s">
        <v>232</v>
      </c>
      <c r="C28" s="12"/>
      <c r="D28" s="12" t="s">
        <v>255</v>
      </c>
      <c r="E28" s="12" t="s">
        <v>160</v>
      </c>
      <c r="F28" s="12" t="s">
        <v>256</v>
      </c>
      <c r="G28" s="12" t="s">
        <v>45</v>
      </c>
      <c r="H28" s="12" t="s">
        <v>257</v>
      </c>
      <c r="I28" s="12" t="s">
        <v>89</v>
      </c>
      <c r="J28" s="12" t="s">
        <v>258</v>
      </c>
      <c r="K28" s="12" t="s">
        <v>259</v>
      </c>
      <c r="L28" s="12" t="s">
        <v>260</v>
      </c>
      <c r="M28" s="12" t="s">
        <v>144</v>
      </c>
      <c r="N28" s="12" t="s">
        <v>261</v>
      </c>
    </row>
    <row r="29" ht="51" spans="1:14">
      <c r="A29" s="7">
        <v>161</v>
      </c>
      <c r="B29" s="7" t="s">
        <v>232</v>
      </c>
      <c r="C29" s="7"/>
      <c r="D29" s="7" t="s">
        <v>262</v>
      </c>
      <c r="E29" s="7" t="s">
        <v>263</v>
      </c>
      <c r="F29" s="7" t="s">
        <v>264</v>
      </c>
      <c r="G29" s="7" t="s">
        <v>99</v>
      </c>
      <c r="H29" s="7" t="s">
        <v>185</v>
      </c>
      <c r="I29" s="7" t="s">
        <v>265</v>
      </c>
      <c r="J29" s="7" t="s">
        <v>266</v>
      </c>
      <c r="K29" s="7" t="s">
        <v>267</v>
      </c>
      <c r="L29" s="7" t="s">
        <v>268</v>
      </c>
      <c r="M29" s="7" t="s">
        <v>144</v>
      </c>
      <c r="N29" s="7" t="s">
        <v>269</v>
      </c>
    </row>
    <row r="30" ht="51" spans="1:14">
      <c r="A30" s="12">
        <v>167</v>
      </c>
      <c r="B30" s="12" t="s">
        <v>232</v>
      </c>
      <c r="C30" s="12"/>
      <c r="D30" s="12" t="s">
        <v>270</v>
      </c>
      <c r="E30" s="12" t="s">
        <v>86</v>
      </c>
      <c r="F30" s="12" t="s">
        <v>271</v>
      </c>
      <c r="G30" s="12" t="s">
        <v>99</v>
      </c>
      <c r="H30" s="12" t="s">
        <v>272</v>
      </c>
      <c r="I30" s="12" t="s">
        <v>273</v>
      </c>
      <c r="J30" s="12" t="s">
        <v>90</v>
      </c>
      <c r="K30" s="12" t="s">
        <v>91</v>
      </c>
      <c r="L30" s="12" t="s">
        <v>92</v>
      </c>
      <c r="M30" s="12" t="s">
        <v>144</v>
      </c>
      <c r="N30" s="12" t="s">
        <v>274</v>
      </c>
    </row>
    <row r="31" ht="51" spans="1:14">
      <c r="A31" s="7">
        <v>170</v>
      </c>
      <c r="B31" s="7" t="s">
        <v>232</v>
      </c>
      <c r="C31" s="7"/>
      <c r="D31" s="7" t="s">
        <v>275</v>
      </c>
      <c r="E31" s="7" t="s">
        <v>276</v>
      </c>
      <c r="F31" s="7" t="s">
        <v>277</v>
      </c>
      <c r="G31" s="7" t="s">
        <v>45</v>
      </c>
      <c r="H31" s="7" t="s">
        <v>278</v>
      </c>
      <c r="I31" s="7" t="s">
        <v>265</v>
      </c>
      <c r="J31" s="7" t="s">
        <v>279</v>
      </c>
      <c r="K31" s="7"/>
      <c r="L31" s="7" t="s">
        <v>280</v>
      </c>
      <c r="M31" s="7" t="s">
        <v>144</v>
      </c>
      <c r="N31" s="7" t="s">
        <v>281</v>
      </c>
    </row>
  </sheetData>
  <autoFilter xmlns:etc="http://www.wps.cn/officeDocument/2017/etCustomData" ref="A1:N3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5"/>
  <cols>
    <col min="1" max="1" width="6" customWidth="1"/>
    <col min="2" max="2" width="8" customWidth="1"/>
    <col min="3" max="3" width="20" customWidth="1"/>
    <col min="4" max="4" width="38" customWidth="1"/>
    <col min="5" max="5" width="32" customWidth="1"/>
    <col min="6" max="6" width="26" customWidth="1"/>
    <col min="7" max="8" width="18" customWidth="1"/>
    <col min="9" max="9" width="16" customWidth="1"/>
    <col min="10" max="10" width="28" customWidth="1"/>
    <col min="11" max="11" width="60" customWidth="1"/>
    <col min="12" max="12" width="42" customWidth="1"/>
  </cols>
  <sheetData>
    <row r="1" spans="1:12">
      <c r="A1" s="5" t="s">
        <v>26</v>
      </c>
      <c r="B1" s="5" t="s">
        <v>282</v>
      </c>
      <c r="C1" s="5" t="s">
        <v>28</v>
      </c>
      <c r="D1" s="5" t="s">
        <v>29</v>
      </c>
      <c r="E1" s="5" t="s">
        <v>283</v>
      </c>
      <c r="F1" s="5" t="s">
        <v>284</v>
      </c>
      <c r="G1" s="5" t="s">
        <v>285</v>
      </c>
      <c r="H1" s="5" t="s">
        <v>286</v>
      </c>
      <c r="I1" s="5" t="s">
        <v>36</v>
      </c>
      <c r="J1" s="5" t="s">
        <v>37</v>
      </c>
      <c r="K1" s="5" t="s">
        <v>287</v>
      </c>
      <c r="L1" s="5" t="s">
        <v>39</v>
      </c>
    </row>
    <row r="2" ht="38.25" spans="1:12">
      <c r="A2" s="6">
        <v>668</v>
      </c>
      <c r="B2" s="6" t="s">
        <v>288</v>
      </c>
      <c r="C2" s="6"/>
      <c r="D2" s="6" t="s">
        <v>289</v>
      </c>
      <c r="E2" s="6" t="s">
        <v>118</v>
      </c>
      <c r="F2" s="6" t="s">
        <v>290</v>
      </c>
      <c r="G2" s="6"/>
      <c r="H2" s="6" t="s">
        <v>121</v>
      </c>
      <c r="I2" s="6"/>
      <c r="J2" s="6" t="s">
        <v>122</v>
      </c>
      <c r="K2" s="6" t="s">
        <v>291</v>
      </c>
      <c r="L2" s="6" t="s">
        <v>124</v>
      </c>
    </row>
    <row r="3" ht="38.25" spans="1:12">
      <c r="A3" s="6">
        <v>669</v>
      </c>
      <c r="B3" s="6" t="s">
        <v>288</v>
      </c>
      <c r="C3" s="6"/>
      <c r="D3" s="6" t="s">
        <v>292</v>
      </c>
      <c r="E3" s="6" t="s">
        <v>118</v>
      </c>
      <c r="F3" s="6" t="s">
        <v>293</v>
      </c>
      <c r="G3" s="6"/>
      <c r="H3" s="6" t="s">
        <v>121</v>
      </c>
      <c r="I3" s="6"/>
      <c r="J3" s="6" t="s">
        <v>122</v>
      </c>
      <c r="K3" s="6" t="s">
        <v>291</v>
      </c>
      <c r="L3" s="6" t="s">
        <v>124</v>
      </c>
    </row>
    <row r="4" ht="38.25" spans="1:12">
      <c r="A4" s="6">
        <v>672</v>
      </c>
      <c r="B4" s="6" t="s">
        <v>288</v>
      </c>
      <c r="C4" s="6"/>
      <c r="D4" s="6" t="s">
        <v>294</v>
      </c>
      <c r="E4" s="6" t="s">
        <v>118</v>
      </c>
      <c r="F4" s="6" t="s">
        <v>295</v>
      </c>
      <c r="G4" s="6"/>
      <c r="H4" s="6" t="s">
        <v>121</v>
      </c>
      <c r="I4" s="6"/>
      <c r="J4" s="6" t="s">
        <v>122</v>
      </c>
      <c r="K4" s="6" t="s">
        <v>291</v>
      </c>
      <c r="L4" s="6" t="s">
        <v>124</v>
      </c>
    </row>
    <row r="5" ht="38.25" spans="1:12">
      <c r="A5" s="6">
        <v>674</v>
      </c>
      <c r="B5" s="6" t="s">
        <v>288</v>
      </c>
      <c r="C5" s="6"/>
      <c r="D5" s="6" t="s">
        <v>296</v>
      </c>
      <c r="E5" s="6" t="s">
        <v>118</v>
      </c>
      <c r="F5" s="6" t="s">
        <v>297</v>
      </c>
      <c r="G5" s="6"/>
      <c r="H5" s="6" t="s">
        <v>121</v>
      </c>
      <c r="I5" s="6"/>
      <c r="J5" s="6" t="s">
        <v>122</v>
      </c>
      <c r="K5" s="6" t="s">
        <v>291</v>
      </c>
      <c r="L5" s="6" t="s">
        <v>124</v>
      </c>
    </row>
    <row r="6" ht="38.25" spans="1:12">
      <c r="A6" s="6">
        <v>675</v>
      </c>
      <c r="B6" s="6" t="s">
        <v>288</v>
      </c>
      <c r="C6" s="6"/>
      <c r="D6" s="6" t="s">
        <v>298</v>
      </c>
      <c r="E6" s="6" t="s">
        <v>118</v>
      </c>
      <c r="F6" s="6" t="s">
        <v>299</v>
      </c>
      <c r="G6" s="6"/>
      <c r="H6" s="6" t="s">
        <v>121</v>
      </c>
      <c r="I6" s="6"/>
      <c r="J6" s="6" t="s">
        <v>122</v>
      </c>
      <c r="K6" s="6" t="s">
        <v>291</v>
      </c>
      <c r="L6" s="6" t="s">
        <v>124</v>
      </c>
    </row>
    <row r="7" ht="38.25" spans="1:12">
      <c r="A7" s="6">
        <v>683</v>
      </c>
      <c r="B7" s="6" t="s">
        <v>288</v>
      </c>
      <c r="C7" s="6"/>
      <c r="D7" s="6" t="s">
        <v>300</v>
      </c>
      <c r="E7" s="6" t="s">
        <v>127</v>
      </c>
      <c r="F7" s="6" t="s">
        <v>301</v>
      </c>
      <c r="G7" s="6" t="s">
        <v>302</v>
      </c>
      <c r="H7" s="6" t="s">
        <v>130</v>
      </c>
      <c r="I7" s="6" t="s">
        <v>131</v>
      </c>
      <c r="J7" s="6" t="s">
        <v>132</v>
      </c>
      <c r="K7" s="6" t="s">
        <v>291</v>
      </c>
      <c r="L7" s="6" t="s">
        <v>134</v>
      </c>
    </row>
    <row r="8" ht="38.25" spans="1:12">
      <c r="A8" s="6">
        <v>684</v>
      </c>
      <c r="B8" s="6" t="s">
        <v>288</v>
      </c>
      <c r="C8" s="6"/>
      <c r="D8" s="6" t="s">
        <v>303</v>
      </c>
      <c r="E8" s="6" t="s">
        <v>127</v>
      </c>
      <c r="F8" s="6" t="s">
        <v>304</v>
      </c>
      <c r="G8" s="6" t="s">
        <v>302</v>
      </c>
      <c r="H8" s="6" t="s">
        <v>130</v>
      </c>
      <c r="I8" s="6" t="s">
        <v>131</v>
      </c>
      <c r="J8" s="6" t="s">
        <v>132</v>
      </c>
      <c r="K8" s="6" t="s">
        <v>291</v>
      </c>
      <c r="L8" s="6" t="s">
        <v>134</v>
      </c>
    </row>
    <row r="9" ht="38.25" spans="1:12">
      <c r="A9" s="6">
        <v>685</v>
      </c>
      <c r="B9" s="6" t="s">
        <v>288</v>
      </c>
      <c r="C9" s="6"/>
      <c r="D9" s="6" t="s">
        <v>305</v>
      </c>
      <c r="E9" s="6" t="s">
        <v>127</v>
      </c>
      <c r="F9" s="6" t="s">
        <v>301</v>
      </c>
      <c r="G9" s="6" t="s">
        <v>302</v>
      </c>
      <c r="H9" s="6" t="s">
        <v>130</v>
      </c>
      <c r="I9" s="6" t="s">
        <v>131</v>
      </c>
      <c r="J9" s="6" t="s">
        <v>132</v>
      </c>
      <c r="K9" s="6" t="s">
        <v>291</v>
      </c>
      <c r="L9" s="6" t="s">
        <v>134</v>
      </c>
    </row>
    <row r="10" ht="25.5" spans="1:12">
      <c r="A10" s="7">
        <v>650</v>
      </c>
      <c r="B10" s="7" t="s">
        <v>306</v>
      </c>
      <c r="C10" s="7"/>
      <c r="D10" s="7" t="s">
        <v>307</v>
      </c>
      <c r="E10" s="7" t="s">
        <v>308</v>
      </c>
      <c r="F10" s="7" t="s">
        <v>309</v>
      </c>
      <c r="G10" s="7" t="s">
        <v>310</v>
      </c>
      <c r="H10" s="7" t="s">
        <v>311</v>
      </c>
      <c r="I10" s="7" t="s">
        <v>312</v>
      </c>
      <c r="J10" s="7" t="s">
        <v>313</v>
      </c>
      <c r="K10" s="7" t="s">
        <v>314</v>
      </c>
      <c r="L10" s="7" t="s">
        <v>315</v>
      </c>
    </row>
    <row r="11" ht="25.5" spans="1:12">
      <c r="A11" s="7">
        <v>651</v>
      </c>
      <c r="B11" s="7" t="s">
        <v>306</v>
      </c>
      <c r="C11" s="7"/>
      <c r="D11" s="7" t="s">
        <v>316</v>
      </c>
      <c r="E11" s="7" t="s">
        <v>317</v>
      </c>
      <c r="F11" s="7" t="s">
        <v>318</v>
      </c>
      <c r="G11" s="7"/>
      <c r="H11" s="7" t="s">
        <v>121</v>
      </c>
      <c r="I11" s="7"/>
      <c r="J11" s="7" t="s">
        <v>122</v>
      </c>
      <c r="K11" s="7" t="s">
        <v>314</v>
      </c>
      <c r="L11" s="7" t="s">
        <v>319</v>
      </c>
    </row>
    <row r="12" ht="25.5" spans="1:12">
      <c r="A12" s="7">
        <v>671</v>
      </c>
      <c r="B12" s="7" t="s">
        <v>306</v>
      </c>
      <c r="C12" s="7"/>
      <c r="D12" s="7" t="s">
        <v>320</v>
      </c>
      <c r="E12" s="7" t="s">
        <v>118</v>
      </c>
      <c r="F12" s="7" t="s">
        <v>321</v>
      </c>
      <c r="G12" s="7"/>
      <c r="H12" s="7" t="s">
        <v>121</v>
      </c>
      <c r="I12" s="7"/>
      <c r="J12" s="7" t="s">
        <v>122</v>
      </c>
      <c r="K12" s="7" t="s">
        <v>314</v>
      </c>
      <c r="L12" s="7" t="s">
        <v>124</v>
      </c>
    </row>
    <row r="13" ht="25.5" spans="1:12">
      <c r="A13" s="7">
        <v>677</v>
      </c>
      <c r="B13" s="7" t="s">
        <v>306</v>
      </c>
      <c r="C13" s="7"/>
      <c r="D13" s="7" t="s">
        <v>322</v>
      </c>
      <c r="E13" s="7" t="s">
        <v>323</v>
      </c>
      <c r="F13" s="7" t="s">
        <v>324</v>
      </c>
      <c r="G13" s="7"/>
      <c r="H13" s="7" t="s">
        <v>325</v>
      </c>
      <c r="I13" s="7" t="s">
        <v>326</v>
      </c>
      <c r="J13" s="7" t="s">
        <v>327</v>
      </c>
      <c r="K13" s="7" t="s">
        <v>314</v>
      </c>
      <c r="L13" s="7" t="s">
        <v>328</v>
      </c>
    </row>
    <row r="14" ht="25.5" spans="1:12">
      <c r="A14" s="7">
        <v>678</v>
      </c>
      <c r="B14" s="7" t="s">
        <v>306</v>
      </c>
      <c r="C14" s="7"/>
      <c r="D14" s="7" t="s">
        <v>322</v>
      </c>
      <c r="E14" s="7" t="s">
        <v>323</v>
      </c>
      <c r="F14" s="7" t="s">
        <v>324</v>
      </c>
      <c r="G14" s="7"/>
      <c r="H14" s="7" t="s">
        <v>329</v>
      </c>
      <c r="I14" s="7" t="s">
        <v>330</v>
      </c>
      <c r="J14" s="7" t="s">
        <v>331</v>
      </c>
      <c r="K14" s="7" t="s">
        <v>314</v>
      </c>
      <c r="L14" s="7" t="s">
        <v>332</v>
      </c>
    </row>
    <row r="15" ht="25.5" spans="1:12">
      <c r="A15" s="7">
        <v>679</v>
      </c>
      <c r="B15" s="7" t="s">
        <v>306</v>
      </c>
      <c r="C15" s="7"/>
      <c r="D15" s="7" t="s">
        <v>322</v>
      </c>
      <c r="E15" s="7" t="s">
        <v>333</v>
      </c>
      <c r="F15" s="7" t="s">
        <v>324</v>
      </c>
      <c r="G15" s="7"/>
      <c r="H15" s="7" t="s">
        <v>130</v>
      </c>
      <c r="I15" s="7" t="s">
        <v>131</v>
      </c>
      <c r="J15" s="7" t="s">
        <v>132</v>
      </c>
      <c r="K15" s="7" t="s">
        <v>314</v>
      </c>
      <c r="L15" s="7" t="s">
        <v>334</v>
      </c>
    </row>
    <row r="16" ht="25.5" spans="1:12">
      <c r="A16" s="7">
        <v>680</v>
      </c>
      <c r="B16" s="7" t="s">
        <v>306</v>
      </c>
      <c r="C16" s="7"/>
      <c r="D16" s="7" t="s">
        <v>322</v>
      </c>
      <c r="E16" s="7" t="s">
        <v>335</v>
      </c>
      <c r="F16" s="7" t="s">
        <v>336</v>
      </c>
      <c r="G16" s="7"/>
      <c r="H16" s="7" t="s">
        <v>325</v>
      </c>
      <c r="I16" s="7" t="s">
        <v>326</v>
      </c>
      <c r="J16" s="7" t="s">
        <v>327</v>
      </c>
      <c r="K16" s="7" t="s">
        <v>314</v>
      </c>
      <c r="L16" s="7" t="s">
        <v>337</v>
      </c>
    </row>
    <row r="17" ht="25.5" spans="1:12">
      <c r="A17" s="7">
        <v>681</v>
      </c>
      <c r="B17" s="7" t="s">
        <v>306</v>
      </c>
      <c r="C17" s="7"/>
      <c r="D17" s="7" t="s">
        <v>338</v>
      </c>
      <c r="E17" s="7" t="s">
        <v>339</v>
      </c>
      <c r="F17" s="7" t="s">
        <v>340</v>
      </c>
      <c r="G17" s="7"/>
      <c r="H17" s="7" t="s">
        <v>325</v>
      </c>
      <c r="I17" s="7" t="s">
        <v>326</v>
      </c>
      <c r="J17" s="7" t="s">
        <v>327</v>
      </c>
      <c r="K17" s="7" t="s">
        <v>314</v>
      </c>
      <c r="L17" s="7" t="s">
        <v>341</v>
      </c>
    </row>
    <row r="18" ht="25.5" spans="1:12">
      <c r="A18" s="7">
        <v>682</v>
      </c>
      <c r="B18" s="7" t="s">
        <v>306</v>
      </c>
      <c r="C18" s="7"/>
      <c r="D18" s="7" t="s">
        <v>342</v>
      </c>
      <c r="E18" s="7" t="s">
        <v>343</v>
      </c>
      <c r="F18" s="7" t="s">
        <v>344</v>
      </c>
      <c r="G18" s="7"/>
      <c r="H18" s="7" t="s">
        <v>121</v>
      </c>
      <c r="I18" s="7"/>
      <c r="J18" s="7" t="s">
        <v>122</v>
      </c>
      <c r="K18" s="7" t="s">
        <v>314</v>
      </c>
      <c r="L18" s="7" t="s">
        <v>345</v>
      </c>
    </row>
    <row r="19" ht="25.5" spans="1:12">
      <c r="A19" s="7">
        <v>686</v>
      </c>
      <c r="B19" s="7" t="s">
        <v>306</v>
      </c>
      <c r="C19" s="7"/>
      <c r="D19" s="7" t="s">
        <v>346</v>
      </c>
      <c r="E19" s="7" t="s">
        <v>127</v>
      </c>
      <c r="F19" s="7" t="s">
        <v>347</v>
      </c>
      <c r="G19" s="7" t="s">
        <v>302</v>
      </c>
      <c r="H19" s="7" t="s">
        <v>130</v>
      </c>
      <c r="I19" s="7" t="s">
        <v>131</v>
      </c>
      <c r="J19" s="7" t="s">
        <v>132</v>
      </c>
      <c r="K19" s="7" t="s">
        <v>314</v>
      </c>
      <c r="L19" s="7" t="s">
        <v>134</v>
      </c>
    </row>
    <row r="21" ht="63.75" spans="1:12">
      <c r="B21" s="8" t="s">
        <v>348</v>
      </c>
      <c r="D21" s="3" t="s">
        <v>349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0"/>
  <sheetViews>
    <sheetView showGridLines="0" tabSelected="1" workbookViewId="0">
      <selection activeCell="B16" sqref="B16"/>
    </sheetView>
  </sheetViews>
  <sheetFormatPr defaultColWidth="8.67619047619048" defaultRowHeight="15" outlineLevelCol="2"/>
  <cols>
    <col min="2" max="2" width="67.7142857142857" customWidth="1"/>
    <col min="3" max="3" width="110" customWidth="1"/>
  </cols>
  <sheetData>
    <row r="2" ht="20.25" spans="2:3">
      <c r="B2" s="1" t="s">
        <v>350</v>
      </c>
    </row>
    <row r="4" ht="42" customHeight="1" spans="2:3">
      <c r="B4" s="2" t="s">
        <v>351</v>
      </c>
      <c r="C4" s="3" t="s">
        <v>352</v>
      </c>
    </row>
    <row r="6" ht="42" customHeight="1" spans="2:3">
      <c r="B6" s="2" t="s">
        <v>353</v>
      </c>
      <c r="C6" s="3" t="s">
        <v>354</v>
      </c>
    </row>
    <row r="8" ht="42" customHeight="1" spans="2:3">
      <c r="B8" s="2" t="s">
        <v>355</v>
      </c>
      <c r="C8" s="3" t="s">
        <v>356</v>
      </c>
    </row>
    <row r="10" ht="42" customHeight="1" spans="2:3">
      <c r="B10" s="2" t="s">
        <v>357</v>
      </c>
      <c r="C10" s="3" t="s">
        <v>358</v>
      </c>
    </row>
    <row r="12" ht="42" customHeight="1" spans="2:3">
      <c r="B12" s="2" t="s">
        <v>359</v>
      </c>
      <c r="C12" s="3" t="s">
        <v>360</v>
      </c>
    </row>
    <row r="14" ht="42" customHeight="1" spans="2:3">
      <c r="B14" s="2" t="s">
        <v>361</v>
      </c>
      <c r="C14" s="3" t="s">
        <v>362</v>
      </c>
    </row>
    <row r="16" ht="78" customHeight="1" spans="2:3">
      <c r="B16" s="4" t="s">
        <v>363</v>
      </c>
      <c r="C16" s="3" t="s">
        <v>364</v>
      </c>
    </row>
    <row r="18" ht="42" customHeight="1" spans="2:3">
      <c r="B18" s="2" t="s">
        <v>365</v>
      </c>
      <c r="C18" s="3" t="s">
        <v>366</v>
      </c>
    </row>
    <row r="20" ht="42" customHeight="1" spans="2:3">
      <c r="B20" s="2" t="s">
        <v>367</v>
      </c>
      <c r="C20" s="3" t="s">
        <v>368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Queue</vt:lpstr>
      <vt:lpstr>Login Wall (ICN)</vt:lpstr>
      <vt:lpstr>Method &amp; Limits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</cp:lastModifiedBy>
  <cp:revision>0</cp:revision>
  <dcterms:created xsi:type="dcterms:W3CDTF">2026-07-12T09:32:00Z</dcterms:created>
  <dcterms:modified xsi:type="dcterms:W3CDTF">2026-07-13T01:12:58Z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1923B9531CEF4237B248C98509332087_12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